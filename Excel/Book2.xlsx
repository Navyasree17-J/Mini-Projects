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em5 Notes\"/>
    </mc:Choice>
  </mc:AlternateContent>
  <bookViews>
    <workbookView xWindow="0" yWindow="0" windowWidth="15345" windowHeight="4575"/>
  </bookViews>
  <sheets>
    <sheet name="Student_Data" sheetId="1" r:id="rId1"/>
    <sheet name="Rules_Table" sheetId="2" r:id="rId2"/>
    <sheet name="Recommendation_Output" sheetId="3" r:id="rId3"/>
  </sheets>
  <definedNames>
    <definedName name="Slicer_Interest">#N/A</definedName>
    <definedName name="Slicer_Recommendation">#N/A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H5" i="1"/>
  <c r="H6" i="1"/>
  <c r="G2" i="1"/>
  <c r="G3" i="1"/>
  <c r="G4" i="1"/>
  <c r="G5" i="1"/>
  <c r="G6" i="1"/>
  <c r="G7" i="1"/>
  <c r="G8" i="1"/>
  <c r="G9" i="1"/>
  <c r="G10" i="1"/>
  <c r="G11" i="1"/>
  <c r="D3" i="3"/>
  <c r="D4" i="3"/>
  <c r="D5" i="3"/>
  <c r="D6" i="3"/>
  <c r="D7" i="3"/>
  <c r="D8" i="3"/>
  <c r="D9" i="3"/>
  <c r="D10" i="3"/>
  <c r="D11" i="3"/>
  <c r="D2" i="3"/>
  <c r="C3" i="3"/>
  <c r="C4" i="3"/>
  <c r="C5" i="3"/>
  <c r="C6" i="3"/>
  <c r="C7" i="3"/>
  <c r="C8" i="3"/>
  <c r="C9" i="3"/>
  <c r="C10" i="3"/>
  <c r="C11" i="3"/>
  <c r="C2" i="3"/>
  <c r="B3" i="3"/>
  <c r="B4" i="3"/>
  <c r="B5" i="3"/>
  <c r="B6" i="3"/>
  <c r="B7" i="3"/>
  <c r="B8" i="3"/>
  <c r="B9" i="3"/>
  <c r="B10" i="3"/>
  <c r="B11" i="3"/>
  <c r="B2" i="3"/>
  <c r="A11" i="3"/>
  <c r="A3" i="3"/>
  <c r="A4" i="3"/>
  <c r="A5" i="3"/>
  <c r="A6" i="3"/>
  <c r="A7" i="3"/>
  <c r="A8" i="3"/>
  <c r="A9" i="3"/>
  <c r="A10" i="3"/>
  <c r="A2" i="3"/>
  <c r="F3" i="1"/>
  <c r="E3" i="3" s="1"/>
  <c r="F4" i="1"/>
  <c r="E4" i="3" s="1"/>
  <c r="F5" i="1"/>
  <c r="E5" i="3" s="1"/>
  <c r="F6" i="1"/>
  <c r="E6" i="3" s="1"/>
  <c r="F7" i="1"/>
  <c r="E7" i="3" s="1"/>
  <c r="F8" i="1"/>
  <c r="E8" i="3" s="1"/>
  <c r="F9" i="1"/>
  <c r="E9" i="3" s="1"/>
  <c r="F10" i="1"/>
  <c r="E10" i="3" s="1"/>
  <c r="F11" i="1"/>
  <c r="E11" i="3" s="1"/>
  <c r="F2" i="1"/>
  <c r="E2" i="3" s="1"/>
  <c r="H8" i="1" l="1"/>
  <c r="H4" i="1"/>
  <c r="H10" i="1"/>
  <c r="H9" i="1"/>
  <c r="H11" i="1"/>
  <c r="H7" i="1"/>
  <c r="H3" i="1"/>
</calcChain>
</file>

<file path=xl/sharedStrings.xml><?xml version="1.0" encoding="utf-8"?>
<sst xmlns="http://schemas.openxmlformats.org/spreadsheetml/2006/main" count="55" uniqueCount="37">
  <si>
    <t>RollNo</t>
  </si>
  <si>
    <t>Name</t>
  </si>
  <si>
    <t>MarksPct</t>
  </si>
  <si>
    <t>AttendancePct</t>
  </si>
  <si>
    <t>Interest</t>
  </si>
  <si>
    <t>Recommendation</t>
  </si>
  <si>
    <t>Navya</t>
  </si>
  <si>
    <t>Manohar</t>
  </si>
  <si>
    <t>Lakshmi</t>
  </si>
  <si>
    <t>Vijaya</t>
  </si>
  <si>
    <t>Yash</t>
  </si>
  <si>
    <t>Jayita</t>
  </si>
  <si>
    <t>Meghana</t>
  </si>
  <si>
    <t>Praneeth</t>
  </si>
  <si>
    <t>Manideep</t>
  </si>
  <si>
    <t>Ravi</t>
  </si>
  <si>
    <t>High</t>
  </si>
  <si>
    <t>Medium</t>
  </si>
  <si>
    <t>Low</t>
  </si>
  <si>
    <t>AttendanceCondition</t>
  </si>
  <si>
    <t>&gt;=75</t>
  </si>
  <si>
    <t>&gt;=60</t>
  </si>
  <si>
    <t>&lt;60</t>
  </si>
  <si>
    <t>Any</t>
  </si>
  <si>
    <t>&gt;=85</t>
  </si>
  <si>
    <t>&lt;75</t>
  </si>
  <si>
    <t>&lt;65</t>
  </si>
  <si>
    <t>Advanced Course</t>
  </si>
  <si>
    <t>Skill Practice</t>
  </si>
  <si>
    <t>Basic Revision</t>
  </si>
  <si>
    <t>Improve Attendance</t>
  </si>
  <si>
    <t>Score</t>
  </si>
  <si>
    <t>Confidence</t>
  </si>
  <si>
    <t>Priority</t>
  </si>
  <si>
    <t>Recomendation</t>
  </si>
  <si>
    <t>MarksCondition</t>
  </si>
  <si>
    <t>RuleMatchScore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</si>
</sst>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92D050"/>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152400</xdr:colOff>
      <xdr:row>11</xdr:row>
      <xdr:rowOff>123825</xdr:rowOff>
    </xdr:from>
    <xdr:to>
      <xdr:col>3</xdr:col>
      <xdr:colOff>9525</xdr:colOff>
      <xdr:row>24</xdr:row>
      <xdr:rowOff>171450</xdr:rowOff>
    </xdr:to>
    <mc:AlternateContent xmlns:mc="http://schemas.openxmlformats.org/markup-compatibility/2006">
      <mc:Choice xmlns:sle15="http://schemas.microsoft.com/office/drawing/2012/slicer" Requires="sle15">
        <xdr:graphicFrame macro="">
          <xdr:nvGraphicFramePr>
            <xdr:cNvPr id="2" name="Interest"/>
            <xdr:cNvGraphicFramePr/>
          </xdr:nvGraphicFramePr>
          <xdr:xfrm>
            <a:off x="0" y="0"/>
            <a:ext cx="0" cy="0"/>
          </xdr:xfrm>
          <a:graphic>
            <a:graphicData uri="http://schemas.microsoft.com/office/drawing/2010/slicer">
              <sle:slicer xmlns:sle="http://schemas.microsoft.com/office/drawing/2010/slicer" name="Interest"/>
            </a:graphicData>
          </a:graphic>
        </xdr:graphicFrame>
      </mc:Choice>
      <mc:Fallback>
        <xdr:sp macro="" textlink="">
          <xdr:nvSpPr>
            <xdr:cNvPr id="0" name=""/>
            <xdr:cNvSpPr>
              <a:spLocks noTextEdit="1"/>
            </xdr:cNvSpPr>
          </xdr:nvSpPr>
          <xdr:spPr>
            <a:xfrm>
              <a:off x="152400" y="2219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228600</xdr:colOff>
      <xdr:row>11</xdr:row>
      <xdr:rowOff>123825</xdr:rowOff>
    </xdr:from>
    <xdr:to>
      <xdr:col>5</xdr:col>
      <xdr:colOff>304800</xdr:colOff>
      <xdr:row>24</xdr:row>
      <xdr:rowOff>171450</xdr:rowOff>
    </xdr:to>
    <mc:AlternateContent xmlns:mc="http://schemas.openxmlformats.org/markup-compatibility/2006">
      <mc:Choice xmlns:sle15="http://schemas.microsoft.com/office/drawing/2012/slicer" Requires="sle15">
        <xdr:graphicFrame macro="">
          <xdr:nvGraphicFramePr>
            <xdr:cNvPr id="3" name="Recommendation"/>
            <xdr:cNvGraphicFramePr/>
          </xdr:nvGraphicFramePr>
          <xdr:xfrm>
            <a:off x="0" y="0"/>
            <a:ext cx="0" cy="0"/>
          </xdr:xfrm>
          <a:graphic>
            <a:graphicData uri="http://schemas.microsoft.com/office/drawing/2010/slicer">
              <sle:slicer xmlns:sle="http://schemas.microsoft.com/office/drawing/2010/slicer" name="Recommendation"/>
            </a:graphicData>
          </a:graphic>
        </xdr:graphicFrame>
      </mc:Choice>
      <mc:Fallback>
        <xdr:sp macro="" textlink="">
          <xdr:nvSpPr>
            <xdr:cNvPr id="0" name=""/>
            <xdr:cNvSpPr>
              <a:spLocks noTextEdit="1"/>
            </xdr:cNvSpPr>
          </xdr:nvSpPr>
          <xdr:spPr>
            <a:xfrm>
              <a:off x="2200275" y="2219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terest" sourceName="Interest">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commendation" sourceName="Recommendation">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terest" cache="Slicer_Interest" caption="Interest" rowHeight="241300"/>
  <slicer name="Recommendation" cache="Slicer_Recommendation" caption="Recommendation" rowHeight="241300"/>
</slicers>
</file>

<file path=xl/tables/table1.xml><?xml version="1.0" encoding="utf-8"?>
<table xmlns="http://schemas.openxmlformats.org/spreadsheetml/2006/main" id="1" name="Table1" displayName="Table1" ref="A1:I11" totalsRowShown="0">
  <autoFilter ref="A1:I11"/>
  <tableColumns count="9">
    <tableColumn id="1" name="RollNo"/>
    <tableColumn id="2" name="Name"/>
    <tableColumn id="3" name="MarksPct"/>
    <tableColumn id="4" name="AttendancePct"/>
    <tableColumn id="5" name="Interest"/>
    <tableColumn id="6" name="Recommendation" dataDxfId="13">
      <calculatedColumnFormula>IF(AND(Table1[[#This Row],[MarksPct]]&gt;=75,Table1[[#This Row],[AttendancePct]]&gt;=85,Table1[[#This Row],[Interest]]="High"),"Advanced Course",
IF(AND(Table1[[#This Row],[MarksPct]]&gt;=60,Table1[[#This Row],[AttendancePct]]&gt;=75,Table1[[#This Row],[Interest]]="Medium"),"Skill Practice",
IF(Table1[[#This Row],[AttendancePct]]&lt;65,"Improve Attendance",
"Basic Revision")))</calculatedColumnFormula>
    </tableColumn>
    <tableColumn id="7" name="Score" dataDxfId="2">
      <calculatedColumnFormula>Table1[[#This Row],[MarksPct]]*0.6 + Table1[[#This Row],[AttendancePct]]*0.4</calculatedColumnFormula>
    </tableColumn>
    <tableColumn id="8" name="Confidence" dataDxfId="1">
      <calculatedColumnFormula>IF(Table1[[#This Row],[Recommendation]]="Advanced Course","High",
IF(Table1[[#This Row],[Recommendation]]="Skill Practice","Medium","Low"))</calculatedColumnFormula>
    </tableColumn>
    <tableColumn id="9" name="RuleMatchScore" dataDxfId="0"/>
  </tableColumns>
  <tableStyleInfo name="TableStyleMedium2" showFirstColumn="0" showLastColumn="0" showRowStripes="1" showColumnStripes="0"/>
</table>
</file>

<file path=xl/tables/table2.xml><?xml version="1.0" encoding="utf-8"?>
<table xmlns="http://schemas.openxmlformats.org/spreadsheetml/2006/main" id="3" name="Rules" displayName="Rules" ref="A1:E5" totalsRowShown="0">
  <autoFilter ref="A1:E5"/>
  <tableColumns count="5">
    <tableColumn id="1" name="MarksCondition"/>
    <tableColumn id="2" name="AttendanceCondition"/>
    <tableColumn id="3" name="Interest"/>
    <tableColumn id="4" name="Recomendation"/>
    <tableColumn id="5" name="Priority"/>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E11" totalsRowShown="0">
  <autoFilter ref="A1:E11"/>
  <tableColumns count="5">
    <tableColumn id="1" name="Name">
      <calculatedColumnFormula>Student_Data!B2</calculatedColumnFormula>
    </tableColumn>
    <tableColumn id="2" name="MarksPct">
      <calculatedColumnFormula>Student_Data!C2</calculatedColumnFormula>
    </tableColumn>
    <tableColumn id="3" name="AttendancePct">
      <calculatedColumnFormula>Student_Data!D2</calculatedColumnFormula>
    </tableColumn>
    <tableColumn id="4" name="Interest">
      <calculatedColumnFormula>Student_Data!E2</calculatedColumnFormula>
    </tableColumn>
    <tableColumn id="5" name="Recommendation">
      <calculatedColumnFormula>Student_Data!F2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topLeftCell="C1" workbookViewId="0">
      <selection activeCell="I2" sqref="I2"/>
    </sheetView>
  </sheetViews>
  <sheetFormatPr defaultRowHeight="15" x14ac:dyDescent="0.25"/>
  <cols>
    <col min="3" max="3" width="11.28515625" customWidth="1"/>
    <col min="4" max="4" width="16.140625" customWidth="1"/>
    <col min="5" max="5" width="10.140625" customWidth="1"/>
    <col min="6" max="6" width="18.85546875" customWidth="1"/>
    <col min="8" max="8" width="13.5703125" customWidth="1"/>
    <col min="9" max="9" width="18.42578125" customWidth="1"/>
  </cols>
  <sheetData>
    <row r="1" spans="1:9" x14ac:dyDescent="0.25">
      <c r="A1" t="s">
        <v>0</v>
      </c>
      <c r="B1" t="s">
        <v>1</v>
      </c>
      <c r="C1" t="s">
        <v>2</v>
      </c>
      <c r="D1" t="s">
        <v>3</v>
      </c>
      <c r="E1" t="s">
        <v>4</v>
      </c>
      <c r="F1" t="s">
        <v>5</v>
      </c>
      <c r="G1" t="s">
        <v>31</v>
      </c>
      <c r="H1" t="s">
        <v>32</v>
      </c>
      <c r="I1" t="s">
        <v>36</v>
      </c>
    </row>
    <row r="2" spans="1:9" x14ac:dyDescent="0.25">
      <c r="A2">
        <v>101</v>
      </c>
      <c r="B2" t="s">
        <v>6</v>
      </c>
      <c r="C2">
        <v>82</v>
      </c>
      <c r="D2">
        <v>91</v>
      </c>
      <c r="E2" t="s">
        <v>16</v>
      </c>
      <c r="F2"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Advanced Course</v>
      </c>
      <c r="G2">
        <f>Table1[[#This Row],[MarksPct]]*0.6 + Table1[[#This Row],[AttendancePct]]*0.4</f>
        <v>85.6</v>
      </c>
      <c r="H2" t="str">
        <f>IF(Table1[[#This Row],[Recommendation]]="Advanced Course","High",
IF(Table1[[#This Row],[Recommendation]]="Skill Practice","Medium","Low"))</f>
        <v>High</v>
      </c>
      <c r="I2" s="1"/>
    </row>
    <row r="3" spans="1:9" x14ac:dyDescent="0.25">
      <c r="A3">
        <v>102</v>
      </c>
      <c r="B3" t="s">
        <v>7</v>
      </c>
      <c r="C3">
        <v>58</v>
      </c>
      <c r="D3">
        <v>72</v>
      </c>
      <c r="E3" t="s">
        <v>17</v>
      </c>
      <c r="F3"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Basic Revision</v>
      </c>
      <c r="G3">
        <f>Table1[[#This Row],[MarksPct]]*0.6 + Table1[[#This Row],[AttendancePct]]*0.4</f>
        <v>63.599999999999994</v>
      </c>
      <c r="H3" t="str">
        <f>IF(Table1[[#This Row],[Recommendation]]="Advanced Course","High",
IF(Table1[[#This Row],[Recommendation]]="Skill Practice","Medium","Low"))</f>
        <v>Low</v>
      </c>
      <c r="I3" s="1"/>
    </row>
    <row r="4" spans="1:9" x14ac:dyDescent="0.25">
      <c r="A4">
        <v>103</v>
      </c>
      <c r="B4" t="s">
        <v>8</v>
      </c>
      <c r="C4">
        <v>67</v>
      </c>
      <c r="D4">
        <v>60</v>
      </c>
      <c r="E4" t="s">
        <v>18</v>
      </c>
      <c r="F4"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Improve Attendance</v>
      </c>
      <c r="G4">
        <f>Table1[[#This Row],[MarksPct]]*0.6 + Table1[[#This Row],[AttendancePct]]*0.4</f>
        <v>64.199999999999989</v>
      </c>
      <c r="H4" t="str">
        <f>IF(Table1[[#This Row],[Recommendation]]="Advanced Course","High",
IF(Table1[[#This Row],[Recommendation]]="Skill Practice","Medium","Low"))</f>
        <v>Low</v>
      </c>
      <c r="I4" s="1"/>
    </row>
    <row r="5" spans="1:9" x14ac:dyDescent="0.25">
      <c r="A5">
        <v>104</v>
      </c>
      <c r="B5" t="s">
        <v>9</v>
      </c>
      <c r="C5">
        <v>88</v>
      </c>
      <c r="D5">
        <v>90</v>
      </c>
      <c r="E5" t="s">
        <v>16</v>
      </c>
      <c r="F5"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Advanced Course</v>
      </c>
      <c r="G5">
        <f>Table1[[#This Row],[MarksPct]]*0.6 + Table1[[#This Row],[AttendancePct]]*0.4</f>
        <v>88.8</v>
      </c>
      <c r="H5" t="str">
        <f>IF(Table1[[#This Row],[Recommendation]]="Advanced Course","High",
IF(Table1[[#This Row],[Recommendation]]="Skill Practice","Medium","Low"))</f>
        <v>High</v>
      </c>
      <c r="I5" s="1"/>
    </row>
    <row r="6" spans="1:9" x14ac:dyDescent="0.25">
      <c r="A6">
        <v>105</v>
      </c>
      <c r="B6" t="s">
        <v>10</v>
      </c>
      <c r="C6">
        <v>92</v>
      </c>
      <c r="D6">
        <v>86</v>
      </c>
      <c r="E6" t="s">
        <v>16</v>
      </c>
      <c r="F6"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Advanced Course</v>
      </c>
      <c r="G6">
        <f>Table1[[#This Row],[MarksPct]]*0.6 + Table1[[#This Row],[AttendancePct]]*0.4</f>
        <v>89.6</v>
      </c>
      <c r="H6" t="str">
        <f>IF(Table1[[#This Row],[Recommendation]]="Advanced Course","High",
IF(Table1[[#This Row],[Recommendation]]="Skill Practice","Medium","Low"))</f>
        <v>High</v>
      </c>
      <c r="I6" s="1"/>
    </row>
    <row r="7" spans="1:9" x14ac:dyDescent="0.25">
      <c r="A7">
        <v>106</v>
      </c>
      <c r="B7" t="s">
        <v>11</v>
      </c>
      <c r="C7">
        <v>73</v>
      </c>
      <c r="D7">
        <v>75</v>
      </c>
      <c r="E7" t="s">
        <v>17</v>
      </c>
      <c r="F7"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Skill Practice</v>
      </c>
      <c r="G7">
        <f>Table1[[#This Row],[MarksPct]]*0.6 + Table1[[#This Row],[AttendancePct]]*0.4</f>
        <v>73.8</v>
      </c>
      <c r="H7" t="str">
        <f>IF(Table1[[#This Row],[Recommendation]]="Advanced Course","High",
IF(Table1[[#This Row],[Recommendation]]="Skill Practice","Medium","Low"))</f>
        <v>Medium</v>
      </c>
      <c r="I7" s="1"/>
    </row>
    <row r="8" spans="1:9" x14ac:dyDescent="0.25">
      <c r="A8">
        <v>107</v>
      </c>
      <c r="B8" t="s">
        <v>12</v>
      </c>
      <c r="C8">
        <v>69</v>
      </c>
      <c r="D8">
        <v>81</v>
      </c>
      <c r="E8" t="s">
        <v>17</v>
      </c>
      <c r="F8"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Skill Practice</v>
      </c>
      <c r="G8">
        <f>Table1[[#This Row],[MarksPct]]*0.6 + Table1[[#This Row],[AttendancePct]]*0.4</f>
        <v>73.8</v>
      </c>
      <c r="H8" t="str">
        <f>IF(Table1[[#This Row],[Recommendation]]="Advanced Course","High",
IF(Table1[[#This Row],[Recommendation]]="Skill Practice","Medium","Low"))</f>
        <v>Medium</v>
      </c>
      <c r="I8" s="1"/>
    </row>
    <row r="9" spans="1:9" x14ac:dyDescent="0.25">
      <c r="A9">
        <v>108</v>
      </c>
      <c r="B9" t="s">
        <v>13</v>
      </c>
      <c r="C9">
        <v>89</v>
      </c>
      <c r="D9">
        <v>55</v>
      </c>
      <c r="E9" t="s">
        <v>18</v>
      </c>
      <c r="F9"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Improve Attendance</v>
      </c>
      <c r="G9">
        <f>Table1[[#This Row],[MarksPct]]*0.6 + Table1[[#This Row],[AttendancePct]]*0.4</f>
        <v>75.400000000000006</v>
      </c>
      <c r="H9" t="str">
        <f>IF(Table1[[#This Row],[Recommendation]]="Advanced Course","High",
IF(Table1[[#This Row],[Recommendation]]="Skill Practice","Medium","Low"))</f>
        <v>Low</v>
      </c>
      <c r="I9" s="1"/>
    </row>
    <row r="10" spans="1:9" x14ac:dyDescent="0.25">
      <c r="A10">
        <v>109</v>
      </c>
      <c r="B10" t="s">
        <v>14</v>
      </c>
      <c r="C10">
        <v>77</v>
      </c>
      <c r="D10">
        <v>63</v>
      </c>
      <c r="E10" t="s">
        <v>18</v>
      </c>
      <c r="F10"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Improve Attendance</v>
      </c>
      <c r="G10">
        <f>Table1[[#This Row],[MarksPct]]*0.6 + Table1[[#This Row],[AttendancePct]]*0.4</f>
        <v>71.400000000000006</v>
      </c>
      <c r="H10" t="str">
        <f>IF(Table1[[#This Row],[Recommendation]]="Advanced Course","High",
IF(Table1[[#This Row],[Recommendation]]="Skill Practice","Medium","Low"))</f>
        <v>Low</v>
      </c>
      <c r="I10" s="1"/>
    </row>
    <row r="11" spans="1:9" x14ac:dyDescent="0.25">
      <c r="A11">
        <v>110</v>
      </c>
      <c r="B11" t="s">
        <v>15</v>
      </c>
      <c r="C11">
        <v>52</v>
      </c>
      <c r="D11">
        <v>85</v>
      </c>
      <c r="E11" t="s">
        <v>18</v>
      </c>
      <c r="F11" t="str">
        <f>IF(AND(Table1[[#This Row],[MarksPct]]&gt;=75,Table1[[#This Row],[AttendancePct]]&gt;=85,Table1[[#This Row],[Interest]]="High"),"Advanced Course",
IF(AND(Table1[[#This Row],[MarksPct]]&gt;=60,Table1[[#This Row],[AttendancePct]]&gt;=75,Table1[[#This Row],[Interest]]="Medium"),"Skill Practice",
IF(Table1[[#This Row],[AttendancePct]]&lt;65,"Improve Attendance",
"Basic Revision")))</f>
        <v>Basic Revision</v>
      </c>
      <c r="G11">
        <f>Table1[[#This Row],[MarksPct]]*0.6 + Table1[[#This Row],[AttendancePct]]*0.4</f>
        <v>65.2</v>
      </c>
      <c r="H11" t="str">
        <f>IF(Table1[[#This Row],[Recommendation]]="Advanced Course","High",
IF(Table1[[#This Row],[Recommendation]]="Skill Practice","Medium","Low"))</f>
        <v>Low</v>
      </c>
      <c r="I11" s="1"/>
    </row>
  </sheetData>
  <conditionalFormatting sqref="F1:F11">
    <cfRule type="containsText" dxfId="7" priority="4" operator="containsText" text="Advanced Course">
      <formula>NOT(ISERROR(SEARCH("Advanced Course",F1)))</formula>
    </cfRule>
    <cfRule type="containsText" dxfId="8" priority="3" operator="containsText" text="Skill Practice">
      <formula>NOT(ISERROR(SEARCH("Skill Practice",F1)))</formula>
    </cfRule>
    <cfRule type="containsText" dxfId="9" priority="2" operator="containsText" text="Improve Attendance">
      <formula>NOT(ISERROR(SEARCH("Improve Attendance",F1)))</formula>
    </cfRule>
    <cfRule type="containsText" dxfId="6" priority="1" operator="containsText" text="Basic Revision">
      <formula>NOT(ISERROR(SEARCH("Basic Revision",F1)))</formula>
    </cfRule>
  </conditionalFormatting>
  <dataValidations count="1">
    <dataValidation type="list" allowBlank="1" showInputMessage="1" showErrorMessage="1" sqref="E1">
      <formula1>"High,Medium,Low"</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B5" sqref="B5"/>
    </sheetView>
  </sheetViews>
  <sheetFormatPr defaultRowHeight="15" x14ac:dyDescent="0.25"/>
  <cols>
    <col min="1" max="1" width="17.140625" customWidth="1"/>
    <col min="2" max="2" width="22.140625" customWidth="1"/>
    <col min="3" max="3" width="10.140625" customWidth="1"/>
    <col min="4" max="4" width="19" customWidth="1"/>
    <col min="5" max="5" width="9.7109375" customWidth="1"/>
  </cols>
  <sheetData>
    <row r="1" spans="1:5" x14ac:dyDescent="0.25">
      <c r="A1" t="s">
        <v>35</v>
      </c>
      <c r="B1" t="s">
        <v>19</v>
      </c>
      <c r="C1" t="s">
        <v>4</v>
      </c>
      <c r="D1" t="s">
        <v>34</v>
      </c>
      <c r="E1" t="s">
        <v>33</v>
      </c>
    </row>
    <row r="2" spans="1:5" x14ac:dyDescent="0.25">
      <c r="A2" t="s">
        <v>20</v>
      </c>
      <c r="B2" t="s">
        <v>24</v>
      </c>
      <c r="C2" t="s">
        <v>16</v>
      </c>
      <c r="D2" t="s">
        <v>27</v>
      </c>
      <c r="E2">
        <v>1</v>
      </c>
    </row>
    <row r="3" spans="1:5" x14ac:dyDescent="0.25">
      <c r="A3" t="s">
        <v>21</v>
      </c>
      <c r="B3" t="s">
        <v>20</v>
      </c>
      <c r="C3" t="s">
        <v>17</v>
      </c>
      <c r="D3" t="s">
        <v>28</v>
      </c>
      <c r="E3">
        <v>2</v>
      </c>
    </row>
    <row r="4" spans="1:5" x14ac:dyDescent="0.25">
      <c r="A4" t="s">
        <v>22</v>
      </c>
      <c r="B4" t="s">
        <v>25</v>
      </c>
      <c r="C4" t="s">
        <v>23</v>
      </c>
      <c r="D4" t="s">
        <v>29</v>
      </c>
      <c r="E4">
        <v>3</v>
      </c>
    </row>
    <row r="5" spans="1:5" x14ac:dyDescent="0.25">
      <c r="A5" t="s">
        <v>23</v>
      </c>
      <c r="B5" t="s">
        <v>26</v>
      </c>
      <c r="C5" t="s">
        <v>23</v>
      </c>
      <c r="D5" t="s">
        <v>30</v>
      </c>
      <c r="E5">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C15" sqref="C15"/>
    </sheetView>
  </sheetViews>
  <sheetFormatPr defaultRowHeight="15" x14ac:dyDescent="0.25"/>
  <cols>
    <col min="1" max="1" width="9.85546875" customWidth="1"/>
    <col min="2" max="2" width="11.28515625" customWidth="1"/>
    <col min="3" max="3" width="16.140625" customWidth="1"/>
    <col min="4" max="4" width="10.140625" customWidth="1"/>
    <col min="5" max="5" width="20" customWidth="1"/>
  </cols>
  <sheetData>
    <row r="1" spans="1:5" x14ac:dyDescent="0.25">
      <c r="A1" t="s">
        <v>1</v>
      </c>
      <c r="B1" t="s">
        <v>2</v>
      </c>
      <c r="C1" t="s">
        <v>3</v>
      </c>
      <c r="D1" t="s">
        <v>4</v>
      </c>
      <c r="E1" t="s">
        <v>5</v>
      </c>
    </row>
    <row r="2" spans="1:5" x14ac:dyDescent="0.25">
      <c r="A2" t="str">
        <f>Student_Data!B2</f>
        <v>Navya</v>
      </c>
      <c r="B2">
        <f>Student_Data!C2</f>
        <v>82</v>
      </c>
      <c r="C2">
        <f>Student_Data!D2</f>
        <v>91</v>
      </c>
      <c r="D2" t="str">
        <f>Student_Data!E2</f>
        <v>High</v>
      </c>
      <c r="E2" t="str">
        <f>Student_Data!F2</f>
        <v>Advanced Course</v>
      </c>
    </row>
    <row r="3" spans="1:5" x14ac:dyDescent="0.25">
      <c r="A3" t="str">
        <f>Student_Data!B3</f>
        <v>Manohar</v>
      </c>
      <c r="B3">
        <f>Student_Data!C3</f>
        <v>58</v>
      </c>
      <c r="C3">
        <f>Student_Data!D3</f>
        <v>72</v>
      </c>
      <c r="D3" t="str">
        <f>Student_Data!E3</f>
        <v>Medium</v>
      </c>
      <c r="E3" t="str">
        <f>Student_Data!F3</f>
        <v>Basic Revision</v>
      </c>
    </row>
    <row r="4" spans="1:5" x14ac:dyDescent="0.25">
      <c r="A4" t="str">
        <f>Student_Data!B4</f>
        <v>Lakshmi</v>
      </c>
      <c r="B4">
        <f>Student_Data!C4</f>
        <v>67</v>
      </c>
      <c r="C4">
        <f>Student_Data!D4</f>
        <v>60</v>
      </c>
      <c r="D4" t="str">
        <f>Student_Data!E4</f>
        <v>Low</v>
      </c>
      <c r="E4" t="str">
        <f>Student_Data!F4</f>
        <v>Improve Attendance</v>
      </c>
    </row>
    <row r="5" spans="1:5" x14ac:dyDescent="0.25">
      <c r="A5" t="str">
        <f>Student_Data!B5</f>
        <v>Vijaya</v>
      </c>
      <c r="B5">
        <f>Student_Data!C5</f>
        <v>88</v>
      </c>
      <c r="C5">
        <f>Student_Data!D5</f>
        <v>90</v>
      </c>
      <c r="D5" t="str">
        <f>Student_Data!E5</f>
        <v>High</v>
      </c>
      <c r="E5" t="str">
        <f>Student_Data!F5</f>
        <v>Advanced Course</v>
      </c>
    </row>
    <row r="6" spans="1:5" x14ac:dyDescent="0.25">
      <c r="A6" t="str">
        <f>Student_Data!B6</f>
        <v>Yash</v>
      </c>
      <c r="B6">
        <f>Student_Data!C6</f>
        <v>92</v>
      </c>
      <c r="C6">
        <f>Student_Data!D6</f>
        <v>86</v>
      </c>
      <c r="D6" t="str">
        <f>Student_Data!E6</f>
        <v>High</v>
      </c>
      <c r="E6" t="str">
        <f>Student_Data!F6</f>
        <v>Advanced Course</v>
      </c>
    </row>
    <row r="7" spans="1:5" x14ac:dyDescent="0.25">
      <c r="A7" t="str">
        <f>Student_Data!B7</f>
        <v>Jayita</v>
      </c>
      <c r="B7">
        <f>Student_Data!C7</f>
        <v>73</v>
      </c>
      <c r="C7">
        <f>Student_Data!D7</f>
        <v>75</v>
      </c>
      <c r="D7" t="str">
        <f>Student_Data!E7</f>
        <v>Medium</v>
      </c>
      <c r="E7" t="str">
        <f>Student_Data!F7</f>
        <v>Skill Practice</v>
      </c>
    </row>
    <row r="8" spans="1:5" x14ac:dyDescent="0.25">
      <c r="A8" t="str">
        <f>Student_Data!B8</f>
        <v>Meghana</v>
      </c>
      <c r="B8">
        <f>Student_Data!C8</f>
        <v>69</v>
      </c>
      <c r="C8">
        <f>Student_Data!D8</f>
        <v>81</v>
      </c>
      <c r="D8" t="str">
        <f>Student_Data!E8</f>
        <v>Medium</v>
      </c>
      <c r="E8" t="str">
        <f>Student_Data!F8</f>
        <v>Skill Practice</v>
      </c>
    </row>
    <row r="9" spans="1:5" x14ac:dyDescent="0.25">
      <c r="A9" t="str">
        <f>Student_Data!B9</f>
        <v>Praneeth</v>
      </c>
      <c r="B9">
        <f>Student_Data!C9</f>
        <v>89</v>
      </c>
      <c r="C9">
        <f>Student_Data!D9</f>
        <v>55</v>
      </c>
      <c r="D9" t="str">
        <f>Student_Data!E9</f>
        <v>Low</v>
      </c>
      <c r="E9" t="str">
        <f>Student_Data!F9</f>
        <v>Improve Attendance</v>
      </c>
    </row>
    <row r="10" spans="1:5" x14ac:dyDescent="0.25">
      <c r="A10" t="str">
        <f>Student_Data!B10</f>
        <v>Manideep</v>
      </c>
      <c r="B10">
        <f>Student_Data!C10</f>
        <v>77</v>
      </c>
      <c r="C10">
        <f>Student_Data!D10</f>
        <v>63</v>
      </c>
      <c r="D10" t="str">
        <f>Student_Data!E10</f>
        <v>Low</v>
      </c>
      <c r="E10" t="str">
        <f>Student_Data!F10</f>
        <v>Improve Attendance</v>
      </c>
    </row>
    <row r="11" spans="1:5" x14ac:dyDescent="0.25">
      <c r="A11" t="str">
        <f>Student_Data!B11</f>
        <v>Ravi</v>
      </c>
      <c r="B11">
        <f>Student_Data!C11</f>
        <v>52</v>
      </c>
      <c r="C11">
        <f>Student_Data!D11</f>
        <v>85</v>
      </c>
      <c r="D11" t="str">
        <f>Student_Data!E11</f>
        <v>Low</v>
      </c>
      <c r="E11" t="str">
        <f>Student_Data!F11</f>
        <v>Basic Revision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Student_Data</vt:lpstr>
      <vt:lpstr>Rules_Table</vt:lpstr>
      <vt:lpstr>Recommendation_Output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2025-12-05T14:18:45Z</dcterms:created>
  <dcterms:modified xsi:type="dcterms:W3CDTF">2025-12-05T15:41:11Z</dcterms:modified>
</cp:coreProperties>
</file>